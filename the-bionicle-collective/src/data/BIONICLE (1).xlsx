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Count" sheetId="1" r:id="rId4"/>
    <sheet state="visible" name="CombinerAlternate Models" sheetId="2" r:id="rId5"/>
    <sheet state="visible" name="Sets Left" sheetId="3" r:id="rId6"/>
    <sheet state="visible" name="Kanohi Checklist" sheetId="4" r:id="rId7"/>
    <sheet state="visible" name="Krana Checklist" sheetId="5" r:id="rId8"/>
  </sheets>
  <definedNames/>
  <calcPr/>
</workbook>
</file>

<file path=xl/sharedStrings.xml><?xml version="1.0" encoding="utf-8"?>
<sst xmlns="http://schemas.openxmlformats.org/spreadsheetml/2006/main" count="432" uniqueCount="334">
  <si>
    <t>Year</t>
  </si>
  <si>
    <t>Set Name</t>
  </si>
  <si>
    <t>Tahu</t>
  </si>
  <si>
    <t>Tahu Nuva</t>
  </si>
  <si>
    <t>Turahk</t>
  </si>
  <si>
    <t>Vakama</t>
  </si>
  <si>
    <t>Hakann</t>
  </si>
  <si>
    <t>Kalmah</t>
  </si>
  <si>
    <t>Malum</t>
  </si>
  <si>
    <t>Gali</t>
  </si>
  <si>
    <t>Gali Nuva</t>
  </si>
  <si>
    <t>Guurahk</t>
  </si>
  <si>
    <t>Nokama</t>
  </si>
  <si>
    <t>Vezok</t>
  </si>
  <si>
    <t>Takadox</t>
  </si>
  <si>
    <t>Tarix</t>
  </si>
  <si>
    <t>Piraka</t>
  </si>
  <si>
    <t>Onua</t>
  </si>
  <si>
    <t>Onua Nuva</t>
  </si>
  <si>
    <t>Vorahk</t>
  </si>
  <si>
    <t>Whenua</t>
  </si>
  <si>
    <t>Reidak</t>
  </si>
  <si>
    <t>Mantax</t>
  </si>
  <si>
    <t>Skrall</t>
  </si>
  <si>
    <t>Pohatu</t>
  </si>
  <si>
    <t>Pohatu Nuva</t>
  </si>
  <si>
    <t>Panrahk</t>
  </si>
  <si>
    <t>Onewa</t>
  </si>
  <si>
    <t>Avak</t>
  </si>
  <si>
    <t>Carapar</t>
  </si>
  <si>
    <t>Vorox</t>
  </si>
  <si>
    <t>Rahkshi</t>
  </si>
  <si>
    <t>Lewa</t>
  </si>
  <si>
    <t>Lewa Nuva</t>
  </si>
  <si>
    <t>Lerahk</t>
  </si>
  <si>
    <t>Matau</t>
  </si>
  <si>
    <t>Zaktan</t>
  </si>
  <si>
    <t>Ehlek</t>
  </si>
  <si>
    <t>Gresh</t>
  </si>
  <si>
    <t>Kopaka</t>
  </si>
  <si>
    <t>Kopaka Nuva</t>
  </si>
  <si>
    <t>Kurahk</t>
  </si>
  <si>
    <t>Nuju</t>
  </si>
  <si>
    <t>Thok</t>
  </si>
  <si>
    <t>Pridak</t>
  </si>
  <si>
    <t>Strakk</t>
  </si>
  <si>
    <t>Takanuva</t>
  </si>
  <si>
    <t>Kopaka
&amp; Melum</t>
  </si>
  <si>
    <t>Jala</t>
  </si>
  <si>
    <t>Tahnok</t>
  </si>
  <si>
    <t>Tahnok-Kal</t>
  </si>
  <si>
    <t>Nuurakh</t>
  </si>
  <si>
    <t>Vohtarak</t>
  </si>
  <si>
    <t>Jaller</t>
  </si>
  <si>
    <t>Radiak</t>
  </si>
  <si>
    <t>Ackar</t>
  </si>
  <si>
    <t>"Narmoto"
Protector of Fire</t>
  </si>
  <si>
    <t>Uxar
Creature of Fire</t>
  </si>
  <si>
    <t>Maku</t>
  </si>
  <si>
    <t>Gahlok</t>
  </si>
  <si>
    <t>Gahlok-Kal</t>
  </si>
  <si>
    <t>Bordakh</t>
  </si>
  <si>
    <t>Boggarak</t>
  </si>
  <si>
    <t>Hahli</t>
  </si>
  <si>
    <t>Gavla</t>
  </si>
  <si>
    <t>Kiina</t>
  </si>
  <si>
    <t>"Kivoda"
Protector of Water</t>
  </si>
  <si>
    <t>Ikir
Creature of Water</t>
  </si>
  <si>
    <t>Onepu</t>
  </si>
  <si>
    <t>Nuhvok</t>
  </si>
  <si>
    <t>Nuhvok-Kal</t>
  </si>
  <si>
    <t>Rorzakh</t>
  </si>
  <si>
    <t>Oohnarak</t>
  </si>
  <si>
    <t>Nuparu</t>
  </si>
  <si>
    <t>Kirop</t>
  </si>
  <si>
    <t>Stronius</t>
  </si>
  <si>
    <t>"Korgot"
Protector of Earth</t>
  </si>
  <si>
    <t>Akida
Creature of Earth</t>
  </si>
  <si>
    <t>Huki</t>
  </si>
  <si>
    <t>Pahrak</t>
  </si>
  <si>
    <t>Pahrak-Kal</t>
  </si>
  <si>
    <t>Zadakh</t>
  </si>
  <si>
    <t>Roporak</t>
  </si>
  <si>
    <t>Hewkii</t>
  </si>
  <si>
    <t>Photok</t>
  </si>
  <si>
    <t>Mata Nui</t>
  </si>
  <si>
    <t>"Nilkuu"
Protector of Stone</t>
  </si>
  <si>
    <t>Ketar
Creature of Stone</t>
  </si>
  <si>
    <t>Kongu</t>
  </si>
  <si>
    <t>Lehvak</t>
  </si>
  <si>
    <t>Lehvak-Kal</t>
  </si>
  <si>
    <t>Vorzakh</t>
  </si>
  <si>
    <t>Keelerak</t>
  </si>
  <si>
    <t>Tanma</t>
  </si>
  <si>
    <t>Vastus</t>
  </si>
  <si>
    <t>"Vizuna"
Protector of Jungle</t>
  </si>
  <si>
    <t>Terak
Creature of Jungle</t>
  </si>
  <si>
    <t>Matoro</t>
  </si>
  <si>
    <t>Kohrak</t>
  </si>
  <si>
    <t>Kohrak-Kal</t>
  </si>
  <si>
    <t>Keerakh</t>
  </si>
  <si>
    <t>Suukorak</t>
  </si>
  <si>
    <t>Solek</t>
  </si>
  <si>
    <t>Gelu</t>
  </si>
  <si>
    <t>"Izotor"
Protector of Ice</t>
  </si>
  <si>
    <t>Umarak
the Hunter</t>
  </si>
  <si>
    <t>Tahnok Va</t>
  </si>
  <si>
    <t>Nuhrii</t>
  </si>
  <si>
    <t>Norik</t>
  </si>
  <si>
    <t>Balta</t>
  </si>
  <si>
    <t>Thulox</t>
  </si>
  <si>
    <t>Antroz</t>
  </si>
  <si>
    <t>Raanu</t>
  </si>
  <si>
    <t>Lord of
Skull Spiders</t>
  </si>
  <si>
    <t>Umarak
the Destroyer</t>
  </si>
  <si>
    <t>Gahlok Va</t>
  </si>
  <si>
    <t>Hafu</t>
  </si>
  <si>
    <t>Vhisola</t>
  </si>
  <si>
    <t>Gaaki</t>
  </si>
  <si>
    <t>Dalu</t>
  </si>
  <si>
    <t>Morak</t>
  </si>
  <si>
    <t>Vamprah</t>
  </si>
  <si>
    <t>Berix</t>
  </si>
  <si>
    <t>Skull Scorpio</t>
  </si>
  <si>
    <t>Ekimu
the Mask Maker</t>
  </si>
  <si>
    <t>Nuhvok Va</t>
  </si>
  <si>
    <t>Macku</t>
  </si>
  <si>
    <t>Tehutti</t>
  </si>
  <si>
    <t>Bomonga</t>
  </si>
  <si>
    <t>Garan</t>
  </si>
  <si>
    <t>Gadunka</t>
  </si>
  <si>
    <t>Chirox</t>
  </si>
  <si>
    <t>Atakus</t>
  </si>
  <si>
    <t>Skull Basher</t>
  </si>
  <si>
    <t>Quake Beast</t>
  </si>
  <si>
    <t>Pahrak Va</t>
  </si>
  <si>
    <t>Ahkmou</t>
  </si>
  <si>
    <t>Pouks</t>
  </si>
  <si>
    <t>Velika</t>
  </si>
  <si>
    <t>Dekar</t>
  </si>
  <si>
    <t>Bitil</t>
  </si>
  <si>
    <t>Zesk</t>
  </si>
  <si>
    <t>Skull Warrior</t>
  </si>
  <si>
    <t>Lava Beast</t>
  </si>
  <si>
    <t>Lehvak Va</t>
  </si>
  <si>
    <t>Orkahm</t>
  </si>
  <si>
    <t>Iruini</t>
  </si>
  <si>
    <t>Piruk</t>
  </si>
  <si>
    <t>Defilak</t>
  </si>
  <si>
    <t>Gorast</t>
  </si>
  <si>
    <t>Tarduk</t>
  </si>
  <si>
    <t>Skull Slicer</t>
  </si>
  <si>
    <t>Storm Beast</t>
  </si>
  <si>
    <t>Kohrak Va</t>
  </si>
  <si>
    <t>Kopeke</t>
  </si>
  <si>
    <t>Ehyre</t>
  </si>
  <si>
    <t>Kualus</t>
  </si>
  <si>
    <t>Kazi</t>
  </si>
  <si>
    <t>Nocturn</t>
  </si>
  <si>
    <t>Krika</t>
  </si>
  <si>
    <t>Metus</t>
  </si>
  <si>
    <t>Mask Maker vs. 
Skull Grinder</t>
  </si>
  <si>
    <t>Nui-Rama</t>
  </si>
  <si>
    <t>Cahdok
&amp; Gahdok</t>
  </si>
  <si>
    <t>Makuta</t>
  </si>
  <si>
    <t>Nidhiki</t>
  </si>
  <si>
    <t>Toa Iruini</t>
  </si>
  <si>
    <t>Brutaka</t>
  </si>
  <si>
    <t>Lesovikk</t>
  </si>
  <si>
    <t>Skopio XV-1</t>
  </si>
  <si>
    <t>Nui-Jaga</t>
  </si>
  <si>
    <t>Boxor</t>
  </si>
  <si>
    <t>Krekka</t>
  </si>
  <si>
    <t>Toa Norik</t>
  </si>
  <si>
    <t>Irnakk</t>
  </si>
  <si>
    <t>Maxilos
&amp; Spinax</t>
  </si>
  <si>
    <t>Icarax</t>
  </si>
  <si>
    <t>Tuma</t>
  </si>
  <si>
    <t>Tarakava</t>
  </si>
  <si>
    <t>Exo-Toa</t>
  </si>
  <si>
    <t>Jaller
&amp; Gukko</t>
  </si>
  <si>
    <t>Toa Lhikan
&amp; Kikanalo</t>
  </si>
  <si>
    <t>Keetongu</t>
  </si>
  <si>
    <t>Axonn</t>
  </si>
  <si>
    <t>Hydraxon</t>
  </si>
  <si>
    <t>Mutran
&amp; Vican</t>
  </si>
  <si>
    <t>Fero
&amp; Skirmix</t>
  </si>
  <si>
    <t>Muaka
&amp; Kane-Ra</t>
  </si>
  <si>
    <t>Takua
&amp; Pewku</t>
  </si>
  <si>
    <t>Turaga Dume
&amp; Nivawk</t>
  </si>
  <si>
    <t>Roodaka</t>
  </si>
  <si>
    <t>Vezon
&amp; Fenrakk</t>
  </si>
  <si>
    <t>Karzahni</t>
  </si>
  <si>
    <t>Rockoh T3</t>
  </si>
  <si>
    <t>Baranus V7</t>
  </si>
  <si>
    <t>Manas</t>
  </si>
  <si>
    <t>Sidorak</t>
  </si>
  <si>
    <t>Vezon
&amp; Kardas</t>
  </si>
  <si>
    <t>Jetrax T6</t>
  </si>
  <si>
    <t>Cendox V1</t>
  </si>
  <si>
    <t>Voporak</t>
  </si>
  <si>
    <t>Umbra</t>
  </si>
  <si>
    <t>Axalara T9</t>
  </si>
  <si>
    <t>Kaxium V3</t>
  </si>
  <si>
    <t>Toa Ignika</t>
  </si>
  <si>
    <t>Thornatus V9</t>
  </si>
  <si>
    <t>SE Jetrax T6</t>
  </si>
  <si>
    <t>Vultraz</t>
  </si>
  <si>
    <t>Mazeka</t>
  </si>
  <si>
    <t>Total Owned</t>
  </si>
  <si>
    <t>Total Count</t>
  </si>
  <si>
    <t>Akamai</t>
  </si>
  <si>
    <t>Akamai Nuva</t>
  </si>
  <si>
    <t>Rahkshi Kaita Za</t>
  </si>
  <si>
    <t>Kinloka</t>
  </si>
  <si>
    <t>Kahgarak</t>
  </si>
  <si>
    <t>Lava Hawk</t>
  </si>
  <si>
    <t>Pit War Tortoise</t>
  </si>
  <si>
    <t>Trinuma</t>
  </si>
  <si>
    <t>Sand Stalker</t>
  </si>
  <si>
    <t>Gaardus</t>
  </si>
  <si>
    <t>Wairuha</t>
  </si>
  <si>
    <t>Wairuha Nuva</t>
  </si>
  <si>
    <t>Rahkshi Kaita Vo</t>
  </si>
  <si>
    <t>Kavinika</t>
  </si>
  <si>
    <t>Sentrakh</t>
  </si>
  <si>
    <t>Dagger Spider</t>
  </si>
  <si>
    <t>Zyglak</t>
  </si>
  <si>
    <t>Spiriah</t>
  </si>
  <si>
    <t>Nui Kopen</t>
  </si>
  <si>
    <t>Koronan Boxor</t>
  </si>
  <si>
    <t>Takutanuva</t>
  </si>
  <si>
    <t>Krahli</t>
  </si>
  <si>
    <t>The Shadowed One</t>
  </si>
  <si>
    <t>Botar</t>
  </si>
  <si>
    <t>Manutri</t>
  </si>
  <si>
    <t>Swamp Stalker</t>
  </si>
  <si>
    <t>Bohrok Kaita Za</t>
  </si>
  <si>
    <t>Bohrok-Kal Kaita Za</t>
  </si>
  <si>
    <t>Kraawa</t>
  </si>
  <si>
    <t>Destral Cycle</t>
  </si>
  <si>
    <t>Bohrok Kaita Ja</t>
  </si>
  <si>
    <t>Bohrok-Kal Kaita Ja</t>
  </si>
  <si>
    <t>Kranua</t>
  </si>
  <si>
    <t>Colony Drone</t>
  </si>
  <si>
    <t>Vezon &amp; Kardas</t>
  </si>
  <si>
    <t>Destral Cycle (Yellow)</t>
  </si>
  <si>
    <t>Exo-Raptor</t>
  </si>
  <si>
    <t>Makuta Nui</t>
  </si>
  <si>
    <t>Kraahu</t>
  </si>
  <si>
    <t>Ice Vermin</t>
  </si>
  <si>
    <t>Toa Jovan</t>
  </si>
  <si>
    <t>Ultimate Dume</t>
  </si>
  <si>
    <t>Rock Raptor</t>
  </si>
  <si>
    <t>Lohrak</t>
  </si>
  <si>
    <t>Chute Lurker</t>
  </si>
  <si>
    <t>Krahka</t>
  </si>
  <si>
    <t>Gate Guardian</t>
  </si>
  <si>
    <t>Sea Spider</t>
  </si>
  <si>
    <t>Totals</t>
  </si>
  <si>
    <t>3 of 8</t>
  </si>
  <si>
    <t>6 of 9</t>
  </si>
  <si>
    <t>6 of 7</t>
  </si>
  <si>
    <t>9 of 9</t>
  </si>
  <si>
    <t>10 of 16</t>
  </si>
  <si>
    <t>6 of 10</t>
  </si>
  <si>
    <t>3 of 3</t>
  </si>
  <si>
    <t>5 of 6</t>
  </si>
  <si>
    <t>1 of 1</t>
  </si>
  <si>
    <t>Overall</t>
  </si>
  <si>
    <t>COMPLETE</t>
  </si>
  <si>
    <t>Toa Mata Nui</t>
  </si>
  <si>
    <t>Combo 2001</t>
  </si>
  <si>
    <t>Combo 2002</t>
  </si>
  <si>
    <t>Combo 2003</t>
  </si>
  <si>
    <t>Combo 2004</t>
  </si>
  <si>
    <t>Combo 2005</t>
  </si>
  <si>
    <t>Combo 2006</t>
  </si>
  <si>
    <t>Combo 2007</t>
  </si>
  <si>
    <t>Combo 2008</t>
  </si>
  <si>
    <t>Combo 2009</t>
  </si>
  <si>
    <t>Combo 2010</t>
  </si>
  <si>
    <t>Tarakava Nui</t>
  </si>
  <si>
    <t>Bahrag Spider</t>
  </si>
  <si>
    <t>Matoran Combiner</t>
  </si>
  <si>
    <t>Cable Crawler</t>
  </si>
  <si>
    <t>Piraka Combiner 1</t>
  </si>
  <si>
    <t>Niazesk</t>
  </si>
  <si>
    <t>Kahu</t>
  </si>
  <si>
    <t>Bohrok Va Kaita Ja</t>
  </si>
  <si>
    <t>Protocairn</t>
  </si>
  <si>
    <t>Piraka Combiner 2</t>
  </si>
  <si>
    <t>Mana Ko</t>
  </si>
  <si>
    <t>Bohrok Va Kaita Za</t>
  </si>
  <si>
    <t>Frostelus</t>
  </si>
  <si>
    <t>Piraka Combiner 3</t>
  </si>
  <si>
    <t>Kuma Nui</t>
  </si>
  <si>
    <t>Parakrekks</t>
  </si>
  <si>
    <t>Protodax</t>
  </si>
  <si>
    <t>Matoran Nui</t>
  </si>
  <si>
    <t>Venom Flyer</t>
  </si>
  <si>
    <t>Zivon</t>
  </si>
  <si>
    <t>Toa Mata</t>
  </si>
  <si>
    <t>Hau</t>
  </si>
  <si>
    <t>Kaukau</t>
  </si>
  <si>
    <t>Pakari</t>
  </si>
  <si>
    <t>Kakama</t>
  </si>
  <si>
    <t>Miru</t>
  </si>
  <si>
    <t>Akaku</t>
  </si>
  <si>
    <t>Silver</t>
  </si>
  <si>
    <t>Golden</t>
  </si>
  <si>
    <t>Toa Nuva</t>
  </si>
  <si>
    <t>Turaga</t>
  </si>
  <si>
    <t>Huna</t>
  </si>
  <si>
    <t>Rau</t>
  </si>
  <si>
    <t>Ruru</t>
  </si>
  <si>
    <t>Komau</t>
  </si>
  <si>
    <t>Mahiki</t>
  </si>
  <si>
    <t>Matatu</t>
  </si>
  <si>
    <t>Krana Type</t>
  </si>
  <si>
    <t>Xa</t>
  </si>
  <si>
    <t>Za</t>
  </si>
  <si>
    <t>Ca</t>
  </si>
  <si>
    <t>Vu</t>
  </si>
  <si>
    <t>Bo</t>
  </si>
  <si>
    <t>Yo</t>
  </si>
  <si>
    <t>Su</t>
  </si>
  <si>
    <t>Ja</t>
  </si>
  <si>
    <t>Tahnok Kal</t>
  </si>
  <si>
    <t>Gahlok Kal</t>
  </si>
  <si>
    <t>Nuhvok Kal</t>
  </si>
  <si>
    <t>Pahrak Kal</t>
  </si>
  <si>
    <t>Lehvak Kal</t>
  </si>
  <si>
    <t>Kohrak Kal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</si>
</sst>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name val="Arial"/>
    </font>
    <font/>
    <font>
      <color rgb="FF000000"/>
      <name val="Arial"/>
    </font>
    <font>
      <color rgb="FF000000"/>
    </font>
  </fonts>
  <fills count="24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83FF"/>
        <bgColor rgb="FF0083FF"/>
      </patternFill>
    </fill>
    <fill>
      <patternFill patternType="solid">
        <fgColor rgb="FF666666"/>
        <bgColor rgb="FF666666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7F6000"/>
        <bgColor rgb="FF7F6000"/>
      </patternFill>
    </fill>
    <fill>
      <patternFill patternType="solid">
        <fgColor rgb="FF16DACA"/>
        <bgColor rgb="FF16DACA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EF7E3"/>
        <bgColor rgb="FFEEF7E3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7" fontId="1" numFmtId="0" xfId="0" applyAlignment="1" applyFill="1" applyFont="1">
      <alignment horizontal="center" readingOrder="0" vertical="bottom"/>
    </xf>
    <xf borderId="0" fillId="7" fontId="1" numFmtId="0" xfId="0" applyAlignment="1" applyFont="1">
      <alignment horizontal="center" vertical="bottom"/>
    </xf>
    <xf borderId="0" fillId="7" fontId="1" numFmtId="0" xfId="0" applyAlignment="1" applyFont="1">
      <alignment horizontal="center" shrinkToFit="0" vertical="bottom" wrapText="1"/>
    </xf>
    <xf borderId="0" fillId="8" fontId="1" numFmtId="0" xfId="0" applyAlignment="1" applyFill="1" applyFont="1">
      <alignment horizontal="center" vertical="bottom"/>
    </xf>
    <xf borderId="0" fillId="8" fontId="1" numFmtId="0" xfId="0" applyAlignment="1" applyFont="1">
      <alignment horizontal="center" shrinkToFit="0" vertical="bottom" wrapText="1"/>
    </xf>
    <xf borderId="0" fillId="9" fontId="1" numFmtId="0" xfId="0" applyAlignment="1" applyFill="1" applyFont="1">
      <alignment horizontal="center" vertical="bottom"/>
    </xf>
    <xf borderId="0" fillId="9" fontId="1" numFmtId="0" xfId="0" applyAlignment="1" applyFont="1">
      <alignment horizontal="center" shrinkToFit="0" vertical="bottom" wrapText="1"/>
    </xf>
    <xf borderId="0" fillId="10" fontId="1" numFmtId="0" xfId="0" applyAlignment="1" applyFill="1" applyFont="1">
      <alignment horizontal="center" vertical="bottom"/>
    </xf>
    <xf borderId="0" fillId="10" fontId="1" numFmtId="0" xfId="0" applyAlignment="1" applyFont="1">
      <alignment horizontal="center" shrinkToFit="0" vertical="bottom" wrapText="1"/>
    </xf>
    <xf borderId="0" fillId="11" fontId="1" numFmtId="0" xfId="0" applyAlignment="1" applyFill="1" applyFont="1">
      <alignment horizontal="center" vertical="bottom"/>
    </xf>
    <xf borderId="0" fillId="11" fontId="1" numFmtId="0" xfId="0" applyAlignment="1" applyFont="1">
      <alignment horizontal="center" shrinkToFit="0" vertical="bottom" wrapText="1"/>
    </xf>
    <xf borderId="0" fillId="12" fontId="1" numFmtId="0" xfId="0" applyAlignment="1" applyFill="1" applyFont="1">
      <alignment horizontal="center" vertical="bottom"/>
    </xf>
    <xf borderId="0" fillId="12" fontId="1" numFmtId="0" xfId="0" applyAlignment="1" applyFont="1">
      <alignment horizontal="center" shrinkToFit="0" vertical="bottom" wrapText="1"/>
    </xf>
    <xf borderId="0" fillId="12" fontId="1" numFmtId="0" xfId="0" applyAlignment="1" applyFont="1">
      <alignment horizontal="center" readingOrder="0" vertical="bottom"/>
    </xf>
    <xf borderId="0" fillId="8" fontId="1" numFmtId="0" xfId="0" applyAlignment="1" applyFont="1">
      <alignment horizontal="center" readingOrder="0" vertical="bottom"/>
    </xf>
    <xf borderId="0" fillId="9" fontId="1" numFmtId="0" xfId="0" applyAlignment="1" applyFont="1">
      <alignment horizontal="center" readingOrder="0" vertical="bottom"/>
    </xf>
    <xf borderId="0" fillId="10" fontId="1" numFmtId="0" xfId="0" applyAlignment="1" applyFont="1">
      <alignment horizontal="center" readingOrder="0" vertical="bottom"/>
    </xf>
    <xf borderId="0" fillId="11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13" fontId="1" numFmtId="0" xfId="0" applyAlignment="1" applyFill="1" applyFont="1">
      <alignment horizontal="center" vertical="bottom"/>
    </xf>
    <xf borderId="0" fillId="14" fontId="1" numFmtId="0" xfId="0" applyAlignment="1" applyFill="1" applyFont="1">
      <alignment horizontal="center" vertical="bottom"/>
    </xf>
    <xf borderId="0" fillId="12" fontId="1" numFmtId="0" xfId="0" applyAlignment="1" applyFont="1">
      <alignment vertical="bottom"/>
    </xf>
    <xf borderId="0" fillId="11" fontId="1" numFmtId="0" xfId="0" applyAlignment="1" applyFont="1">
      <alignment horizontal="center" readingOrder="0" shrinkToFit="0" vertical="bottom" wrapText="1"/>
    </xf>
    <xf borderId="0" fillId="14" fontId="1" numFmtId="0" xfId="0" applyAlignment="1" applyFont="1">
      <alignment horizontal="center" readingOrder="0" shrinkToFit="0" vertical="bottom" wrapText="1"/>
    </xf>
    <xf borderId="0" fillId="14" fontId="1" numFmtId="0" xfId="0" applyAlignment="1" applyFont="1">
      <alignment horizontal="center" readingOrder="0" vertical="bottom"/>
    </xf>
    <xf borderId="0" fillId="15" fontId="1" numFmtId="0" xfId="0" applyAlignment="1" applyFill="1" applyFont="1">
      <alignment horizontal="center" vertical="bottom"/>
    </xf>
    <xf borderId="0" fillId="16" fontId="1" numFmtId="0" xfId="0" applyAlignment="1" applyFill="1" applyFont="1">
      <alignment horizontal="center" readingOrder="0" vertical="bottom"/>
    </xf>
    <xf borderId="0" fillId="9" fontId="1" numFmtId="0" xfId="0" applyAlignment="1" applyFont="1">
      <alignment horizontal="center" readingOrder="0" shrinkToFit="0" vertical="bottom" wrapText="1"/>
    </xf>
    <xf borderId="0" fillId="17" fontId="1" numFmtId="0" xfId="0" applyAlignment="1" applyFill="1" applyFont="1">
      <alignment horizontal="center" readingOrder="0" vertical="bottom"/>
    </xf>
    <xf borderId="0" fillId="18" fontId="1" numFmtId="0" xfId="0" applyAlignment="1" applyFill="1" applyFont="1">
      <alignment horizontal="center" vertical="bottom"/>
    </xf>
    <xf borderId="0" fillId="13" fontId="1" numFmtId="0" xfId="0" applyAlignment="1" applyFont="1">
      <alignment horizontal="center" readingOrder="0" vertical="bottom"/>
    </xf>
    <xf borderId="0" fillId="19" fontId="1" numFmtId="0" xfId="0" applyAlignment="1" applyFill="1" applyFont="1">
      <alignment horizontal="center" readingOrder="0" vertical="bottom"/>
    </xf>
    <xf borderId="0" fillId="20" fontId="1" numFmtId="0" xfId="0" applyAlignment="1" applyFill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2" fontId="1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center" readingOrder="0" vertical="bottom"/>
    </xf>
    <xf borderId="0" fillId="6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5" fontId="2" numFmtId="0" xfId="0" applyAlignment="1" applyFont="1">
      <alignment horizontal="center"/>
    </xf>
    <xf borderId="0" fillId="21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22" fontId="2" numFmtId="0" xfId="0" applyAlignment="1" applyFill="1" applyFont="1">
      <alignment horizontal="center" readingOrder="0"/>
    </xf>
    <xf borderId="0" fillId="13" fontId="2" numFmtId="0" xfId="0" applyAlignment="1" applyFont="1">
      <alignment horizontal="center" readingOrder="0"/>
    </xf>
    <xf borderId="0" fillId="19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2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11" fontId="1" numFmtId="0" xfId="0" applyAlignment="1" applyFont="1">
      <alignment horizontal="center" vertical="bottom"/>
    </xf>
    <xf borderId="0" fillId="17" fontId="1" numFmtId="0" xfId="0" applyAlignment="1" applyFont="1">
      <alignment horizontal="center" vertical="bottom"/>
    </xf>
    <xf borderId="0" fillId="18" fontId="1" numFmtId="0" xfId="0" applyAlignment="1" applyFont="1">
      <alignment horizontal="center" vertical="bottom"/>
    </xf>
    <xf borderId="0" fillId="11" fontId="1" numFmtId="0" xfId="0" applyAlignment="1" applyFont="1">
      <alignment vertical="bottom"/>
    </xf>
    <xf borderId="0" fillId="23" fontId="1" numFmtId="0" xfId="0" applyAlignment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">
    <tableStyle count="3" pivot="0" name="Total Count-style">
      <tableStyleElement dxfId="1" type="headerRow"/>
      <tableStyleElement dxfId="2" type="firstRowStripe"/>
      <tableStyleElement dxfId="3" type="secondRowStripe"/>
    </tableStyle>
    <tableStyle count="3" pivot="0" name="CombinerAlternate Mode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3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otal Cou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K1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binerAlternate Mode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0"/>
    <col customWidth="1" min="3" max="3" width="10.75"/>
    <col customWidth="1" min="4" max="4" width="9.38"/>
    <col customWidth="1" min="5" max="5" width="10.88"/>
    <col customWidth="1" min="6" max="6" width="8.13"/>
    <col customWidth="1" min="7" max="7" width="8.38"/>
    <col customWidth="1" min="8" max="8" width="8.0"/>
    <col customWidth="1" min="9" max="9" width="10.38"/>
    <col customWidth="1" min="10" max="10" width="10.75"/>
    <col customWidth="1" min="11" max="11" width="8.0"/>
    <col customWidth="1" min="12" max="12" width="14.63"/>
    <col customWidth="1" min="13" max="13" width="14.38"/>
    <col customWidth="1" min="14" max="14" width="3.75"/>
  </cols>
  <sheetData>
    <row r="1">
      <c r="A1" s="1" t="s">
        <v>0</v>
      </c>
      <c r="B1" s="2">
        <v>2001.0</v>
      </c>
      <c r="C1" s="3">
        <v>2002.0</v>
      </c>
      <c r="D1" s="2">
        <v>2003.0</v>
      </c>
      <c r="E1" s="4">
        <v>2004.0</v>
      </c>
      <c r="F1" s="4">
        <v>2005.0</v>
      </c>
      <c r="G1" s="5">
        <v>2006.0</v>
      </c>
      <c r="H1" s="5">
        <v>2007.0</v>
      </c>
      <c r="I1" s="5">
        <v>2008.0</v>
      </c>
      <c r="J1" s="6">
        <v>2009.0</v>
      </c>
      <c r="K1" s="6">
        <v>2010.0</v>
      </c>
      <c r="L1" s="7">
        <v>2015.0</v>
      </c>
      <c r="M1" s="7">
        <v>2016.0</v>
      </c>
      <c r="N1" s="8"/>
    </row>
    <row r="2">
      <c r="A2" s="9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10" t="s">
        <v>5</v>
      </c>
      <c r="G2" s="10" t="s">
        <v>6</v>
      </c>
      <c r="H2" s="10" t="s">
        <v>7</v>
      </c>
      <c r="I2" s="10" t="s">
        <v>2</v>
      </c>
      <c r="J2" s="10" t="s">
        <v>8</v>
      </c>
      <c r="K2" s="10" t="s">
        <v>2</v>
      </c>
      <c r="L2" s="10" t="s">
        <v>2</v>
      </c>
      <c r="M2" s="10" t="s">
        <v>2</v>
      </c>
      <c r="N2" s="8"/>
    </row>
    <row r="3">
      <c r="A3" s="12"/>
      <c r="B3" s="12" t="s">
        <v>9</v>
      </c>
      <c r="C3" s="13" t="s">
        <v>10</v>
      </c>
      <c r="D3" s="12" t="s">
        <v>11</v>
      </c>
      <c r="E3" s="12" t="s">
        <v>12</v>
      </c>
      <c r="F3" s="12" t="s">
        <v>12</v>
      </c>
      <c r="G3" s="12" t="s">
        <v>13</v>
      </c>
      <c r="H3" s="12" t="s">
        <v>14</v>
      </c>
      <c r="I3" s="12" t="s">
        <v>9</v>
      </c>
      <c r="J3" s="12" t="s">
        <v>15</v>
      </c>
      <c r="K3" s="12" t="s">
        <v>16</v>
      </c>
      <c r="L3" s="12" t="s">
        <v>9</v>
      </c>
      <c r="M3" s="12" t="s">
        <v>9</v>
      </c>
      <c r="N3" s="8"/>
    </row>
    <row r="4">
      <c r="A4" s="14"/>
      <c r="B4" s="14" t="s">
        <v>17</v>
      </c>
      <c r="C4" s="15" t="s">
        <v>18</v>
      </c>
      <c r="D4" s="14" t="s">
        <v>19</v>
      </c>
      <c r="E4" s="14" t="s">
        <v>20</v>
      </c>
      <c r="F4" s="14" t="s">
        <v>20</v>
      </c>
      <c r="G4" s="14" t="s">
        <v>21</v>
      </c>
      <c r="H4" s="14" t="s">
        <v>22</v>
      </c>
      <c r="I4" s="14" t="s">
        <v>17</v>
      </c>
      <c r="J4" s="14" t="s">
        <v>23</v>
      </c>
      <c r="K4" s="14" t="s">
        <v>23</v>
      </c>
      <c r="L4" s="14" t="s">
        <v>17</v>
      </c>
      <c r="M4" s="14" t="s">
        <v>17</v>
      </c>
      <c r="N4" s="8"/>
    </row>
    <row r="5">
      <c r="A5" s="16"/>
      <c r="B5" s="16" t="s">
        <v>24</v>
      </c>
      <c r="C5" s="17" t="s">
        <v>25</v>
      </c>
      <c r="D5" s="16" t="s">
        <v>26</v>
      </c>
      <c r="E5" s="16" t="s">
        <v>27</v>
      </c>
      <c r="F5" s="16" t="s">
        <v>27</v>
      </c>
      <c r="G5" s="16" t="s">
        <v>28</v>
      </c>
      <c r="H5" s="16" t="s">
        <v>29</v>
      </c>
      <c r="I5" s="16" t="s">
        <v>24</v>
      </c>
      <c r="J5" s="16" t="s">
        <v>30</v>
      </c>
      <c r="K5" s="16" t="s">
        <v>31</v>
      </c>
      <c r="L5" s="16" t="s">
        <v>24</v>
      </c>
      <c r="M5" s="16" t="s">
        <v>24</v>
      </c>
      <c r="N5" s="8"/>
    </row>
    <row r="6">
      <c r="A6" s="18"/>
      <c r="B6" s="18" t="s">
        <v>32</v>
      </c>
      <c r="C6" s="19" t="s">
        <v>33</v>
      </c>
      <c r="D6" s="18" t="s">
        <v>34</v>
      </c>
      <c r="E6" s="18" t="s">
        <v>35</v>
      </c>
      <c r="F6" s="18" t="s">
        <v>35</v>
      </c>
      <c r="G6" s="18" t="s">
        <v>36</v>
      </c>
      <c r="H6" s="18" t="s">
        <v>37</v>
      </c>
      <c r="I6" s="18" t="s">
        <v>32</v>
      </c>
      <c r="J6" s="18" t="s">
        <v>38</v>
      </c>
      <c r="K6" s="18" t="s">
        <v>38</v>
      </c>
      <c r="L6" s="18" t="s">
        <v>32</v>
      </c>
      <c r="M6" s="18" t="s">
        <v>32</v>
      </c>
      <c r="N6" s="8"/>
    </row>
    <row r="7">
      <c r="A7" s="20"/>
      <c r="B7" s="20" t="s">
        <v>39</v>
      </c>
      <c r="C7" s="21" t="s">
        <v>40</v>
      </c>
      <c r="D7" s="20" t="s">
        <v>41</v>
      </c>
      <c r="E7" s="20" t="s">
        <v>42</v>
      </c>
      <c r="F7" s="20" t="s">
        <v>42</v>
      </c>
      <c r="G7" s="20" t="s">
        <v>43</v>
      </c>
      <c r="H7" s="20" t="s">
        <v>44</v>
      </c>
      <c r="I7" s="20" t="s">
        <v>39</v>
      </c>
      <c r="J7" s="20" t="s">
        <v>45</v>
      </c>
      <c r="K7" s="20" t="s">
        <v>46</v>
      </c>
      <c r="L7" s="20" t="s">
        <v>39</v>
      </c>
      <c r="M7" s="22" t="s">
        <v>47</v>
      </c>
      <c r="N7" s="8"/>
    </row>
    <row r="8">
      <c r="A8" s="10"/>
      <c r="B8" s="10" t="s">
        <v>48</v>
      </c>
      <c r="C8" s="11" t="s">
        <v>49</v>
      </c>
      <c r="D8" s="10" t="s">
        <v>50</v>
      </c>
      <c r="E8" s="10" t="s">
        <v>51</v>
      </c>
      <c r="F8" s="10" t="s">
        <v>52</v>
      </c>
      <c r="G8" s="10" t="s">
        <v>53</v>
      </c>
      <c r="H8" s="10" t="s">
        <v>53</v>
      </c>
      <c r="I8" s="10" t="s">
        <v>54</v>
      </c>
      <c r="J8" s="10" t="s">
        <v>55</v>
      </c>
      <c r="K8" s="6"/>
      <c r="L8" s="9" t="s">
        <v>56</v>
      </c>
      <c r="M8" s="9" t="s">
        <v>57</v>
      </c>
      <c r="N8" s="8"/>
    </row>
    <row r="9">
      <c r="A9" s="12"/>
      <c r="B9" s="12" t="s">
        <v>58</v>
      </c>
      <c r="C9" s="13" t="s">
        <v>59</v>
      </c>
      <c r="D9" s="12" t="s">
        <v>60</v>
      </c>
      <c r="E9" s="12" t="s">
        <v>61</v>
      </c>
      <c r="F9" s="12" t="s">
        <v>62</v>
      </c>
      <c r="G9" s="12" t="s">
        <v>63</v>
      </c>
      <c r="H9" s="12" t="s">
        <v>63</v>
      </c>
      <c r="I9" s="12" t="s">
        <v>64</v>
      </c>
      <c r="J9" s="12" t="s">
        <v>65</v>
      </c>
      <c r="K9" s="6"/>
      <c r="L9" s="23" t="s">
        <v>66</v>
      </c>
      <c r="M9" s="23" t="s">
        <v>67</v>
      </c>
      <c r="N9" s="8"/>
    </row>
    <row r="10">
      <c r="A10" s="14"/>
      <c r="B10" s="14" t="s">
        <v>68</v>
      </c>
      <c r="C10" s="15" t="s">
        <v>69</v>
      </c>
      <c r="D10" s="14" t="s">
        <v>70</v>
      </c>
      <c r="E10" s="14" t="s">
        <v>71</v>
      </c>
      <c r="F10" s="14" t="s">
        <v>72</v>
      </c>
      <c r="G10" s="14" t="s">
        <v>73</v>
      </c>
      <c r="H10" s="14" t="s">
        <v>73</v>
      </c>
      <c r="I10" s="14" t="s">
        <v>74</v>
      </c>
      <c r="J10" s="14" t="s">
        <v>75</v>
      </c>
      <c r="K10" s="6"/>
      <c r="L10" s="24" t="s">
        <v>76</v>
      </c>
      <c r="M10" s="24" t="s">
        <v>77</v>
      </c>
      <c r="N10" s="8"/>
    </row>
    <row r="11">
      <c r="A11" s="16"/>
      <c r="B11" s="16" t="s">
        <v>78</v>
      </c>
      <c r="C11" s="17" t="s">
        <v>79</v>
      </c>
      <c r="D11" s="16" t="s">
        <v>80</v>
      </c>
      <c r="E11" s="16" t="s">
        <v>81</v>
      </c>
      <c r="F11" s="16" t="s">
        <v>82</v>
      </c>
      <c r="G11" s="16" t="s">
        <v>83</v>
      </c>
      <c r="H11" s="16" t="s">
        <v>83</v>
      </c>
      <c r="I11" s="16" t="s">
        <v>84</v>
      </c>
      <c r="J11" s="16" t="s">
        <v>85</v>
      </c>
      <c r="K11" s="6"/>
      <c r="L11" s="25" t="s">
        <v>86</v>
      </c>
      <c r="M11" s="25" t="s">
        <v>87</v>
      </c>
      <c r="N11" s="8"/>
    </row>
    <row r="12">
      <c r="A12" s="18"/>
      <c r="B12" s="18" t="s">
        <v>88</v>
      </c>
      <c r="C12" s="19" t="s">
        <v>89</v>
      </c>
      <c r="D12" s="18" t="s">
        <v>90</v>
      </c>
      <c r="E12" s="18" t="s">
        <v>91</v>
      </c>
      <c r="F12" s="18" t="s">
        <v>92</v>
      </c>
      <c r="G12" s="18" t="s">
        <v>88</v>
      </c>
      <c r="H12" s="18" t="s">
        <v>88</v>
      </c>
      <c r="I12" s="18" t="s">
        <v>93</v>
      </c>
      <c r="J12" s="18" t="s">
        <v>94</v>
      </c>
      <c r="K12" s="6"/>
      <c r="L12" s="26" t="s">
        <v>95</v>
      </c>
      <c r="M12" s="26" t="s">
        <v>96</v>
      </c>
      <c r="N12" s="8"/>
    </row>
    <row r="13">
      <c r="A13" s="20"/>
      <c r="B13" s="20" t="s">
        <v>97</v>
      </c>
      <c r="C13" s="21" t="s">
        <v>98</v>
      </c>
      <c r="D13" s="20" t="s">
        <v>99</v>
      </c>
      <c r="E13" s="20" t="s">
        <v>100</v>
      </c>
      <c r="F13" s="20" t="s">
        <v>101</v>
      </c>
      <c r="G13" s="20" t="s">
        <v>97</v>
      </c>
      <c r="H13" s="20" t="s">
        <v>97</v>
      </c>
      <c r="I13" s="20" t="s">
        <v>102</v>
      </c>
      <c r="J13" s="20" t="s">
        <v>103</v>
      </c>
      <c r="K13" s="6"/>
      <c r="L13" s="22" t="s">
        <v>104</v>
      </c>
      <c r="M13" s="26" t="s">
        <v>105</v>
      </c>
      <c r="N13" s="8"/>
    </row>
    <row r="14">
      <c r="A14" s="10"/>
      <c r="B14" s="10" t="s">
        <v>5</v>
      </c>
      <c r="C14" s="11" t="s">
        <v>106</v>
      </c>
      <c r="D14" s="16" t="s">
        <v>83</v>
      </c>
      <c r="E14" s="10" t="s">
        <v>107</v>
      </c>
      <c r="F14" s="10" t="s">
        <v>108</v>
      </c>
      <c r="G14" s="10" t="s">
        <v>109</v>
      </c>
      <c r="H14" s="10" t="s">
        <v>110</v>
      </c>
      <c r="I14" s="10" t="s">
        <v>111</v>
      </c>
      <c r="J14" s="10" t="s">
        <v>112</v>
      </c>
      <c r="K14" s="6"/>
      <c r="L14" s="27" t="s">
        <v>113</v>
      </c>
      <c r="M14" s="26" t="s">
        <v>114</v>
      </c>
      <c r="N14" s="8"/>
    </row>
    <row r="15">
      <c r="A15" s="12"/>
      <c r="B15" s="12" t="s">
        <v>12</v>
      </c>
      <c r="C15" s="13" t="s">
        <v>115</v>
      </c>
      <c r="D15" s="16" t="s">
        <v>116</v>
      </c>
      <c r="E15" s="12" t="s">
        <v>117</v>
      </c>
      <c r="F15" s="12" t="s">
        <v>118</v>
      </c>
      <c r="G15" s="12" t="s">
        <v>119</v>
      </c>
      <c r="H15" s="12" t="s">
        <v>120</v>
      </c>
      <c r="I15" s="12" t="s">
        <v>121</v>
      </c>
      <c r="J15" s="12" t="s">
        <v>122</v>
      </c>
      <c r="K15" s="6"/>
      <c r="L15" s="28" t="s">
        <v>123</v>
      </c>
      <c r="M15" s="23" t="s">
        <v>124</v>
      </c>
      <c r="N15" s="8"/>
    </row>
    <row r="16">
      <c r="A16" s="14"/>
      <c r="B16" s="14" t="s">
        <v>20</v>
      </c>
      <c r="C16" s="15" t="s">
        <v>125</v>
      </c>
      <c r="D16" s="12" t="s">
        <v>126</v>
      </c>
      <c r="E16" s="14" t="s">
        <v>127</v>
      </c>
      <c r="F16" s="14" t="s">
        <v>128</v>
      </c>
      <c r="G16" s="14" t="s">
        <v>129</v>
      </c>
      <c r="H16" s="12" t="s">
        <v>130</v>
      </c>
      <c r="I16" s="14" t="s">
        <v>131</v>
      </c>
      <c r="J16" s="14" t="s">
        <v>132</v>
      </c>
      <c r="K16" s="6"/>
      <c r="L16" s="29" t="s">
        <v>133</v>
      </c>
      <c r="M16" s="29" t="s">
        <v>134</v>
      </c>
      <c r="N16" s="8"/>
    </row>
    <row r="17">
      <c r="A17" s="16"/>
      <c r="B17" s="16" t="s">
        <v>27</v>
      </c>
      <c r="C17" s="17" t="s">
        <v>135</v>
      </c>
      <c r="D17" s="12" t="s">
        <v>63</v>
      </c>
      <c r="E17" s="16" t="s">
        <v>136</v>
      </c>
      <c r="F17" s="16" t="s">
        <v>137</v>
      </c>
      <c r="G17" s="16" t="s">
        <v>138</v>
      </c>
      <c r="H17" s="16" t="s">
        <v>139</v>
      </c>
      <c r="I17" s="16" t="s">
        <v>140</v>
      </c>
      <c r="J17" s="25" t="s">
        <v>141</v>
      </c>
      <c r="K17" s="6"/>
      <c r="L17" s="12" t="s">
        <v>142</v>
      </c>
      <c r="M17" s="10" t="s">
        <v>143</v>
      </c>
      <c r="N17" s="30"/>
    </row>
    <row r="18">
      <c r="A18" s="18"/>
      <c r="B18" s="18" t="s">
        <v>35</v>
      </c>
      <c r="C18" s="31" t="s">
        <v>144</v>
      </c>
      <c r="D18" s="20" t="s">
        <v>97</v>
      </c>
      <c r="E18" s="18" t="s">
        <v>145</v>
      </c>
      <c r="F18" s="18" t="s">
        <v>146</v>
      </c>
      <c r="G18" s="18" t="s">
        <v>147</v>
      </c>
      <c r="H18" s="18" t="s">
        <v>148</v>
      </c>
      <c r="I18" s="18" t="s">
        <v>149</v>
      </c>
      <c r="J18" s="26" t="s">
        <v>150</v>
      </c>
      <c r="K18" s="6"/>
      <c r="L18" s="18" t="s">
        <v>151</v>
      </c>
      <c r="M18" s="12" t="s">
        <v>152</v>
      </c>
      <c r="N18" s="8"/>
    </row>
    <row r="19">
      <c r="A19" s="20"/>
      <c r="B19" s="20" t="s">
        <v>42</v>
      </c>
      <c r="C19" s="21" t="s">
        <v>153</v>
      </c>
      <c r="D19" s="20" t="s">
        <v>154</v>
      </c>
      <c r="E19" s="20" t="s">
        <v>155</v>
      </c>
      <c r="F19" s="20" t="s">
        <v>156</v>
      </c>
      <c r="G19" s="20" t="s">
        <v>157</v>
      </c>
      <c r="H19" s="28" t="s">
        <v>158</v>
      </c>
      <c r="I19" s="20" t="s">
        <v>159</v>
      </c>
      <c r="J19" s="20" t="s">
        <v>160</v>
      </c>
      <c r="K19" s="6"/>
      <c r="L19" s="27" t="s">
        <v>161</v>
      </c>
      <c r="M19" s="7"/>
      <c r="N19" s="8"/>
    </row>
    <row r="20">
      <c r="A20" s="4"/>
      <c r="B20" s="4" t="s">
        <v>162</v>
      </c>
      <c r="C20" s="32" t="s">
        <v>163</v>
      </c>
      <c r="D20" s="14" t="s">
        <v>164</v>
      </c>
      <c r="E20" s="18" t="s">
        <v>165</v>
      </c>
      <c r="F20" s="18" t="s">
        <v>166</v>
      </c>
      <c r="G20" s="12" t="s">
        <v>167</v>
      </c>
      <c r="H20" s="28" t="s">
        <v>168</v>
      </c>
      <c r="I20" s="20" t="s">
        <v>46</v>
      </c>
      <c r="J20" s="10" t="s">
        <v>169</v>
      </c>
      <c r="K20" s="6"/>
      <c r="L20" s="7"/>
      <c r="M20" s="7"/>
      <c r="N20" s="8"/>
    </row>
    <row r="21">
      <c r="A21" s="33"/>
      <c r="B21" s="33" t="s">
        <v>170</v>
      </c>
      <c r="C21" s="15" t="s">
        <v>171</v>
      </c>
      <c r="D21" s="20" t="s">
        <v>46</v>
      </c>
      <c r="E21" s="12" t="s">
        <v>172</v>
      </c>
      <c r="F21" s="10" t="s">
        <v>173</v>
      </c>
      <c r="G21" s="34" t="s">
        <v>174</v>
      </c>
      <c r="H21" s="9" t="s">
        <v>175</v>
      </c>
      <c r="I21" s="10" t="s">
        <v>176</v>
      </c>
      <c r="J21" s="28" t="s">
        <v>177</v>
      </c>
      <c r="K21" s="6"/>
      <c r="L21" s="7"/>
      <c r="M21" s="7"/>
      <c r="N21" s="8"/>
    </row>
    <row r="22">
      <c r="A22" s="35"/>
      <c r="B22" s="35" t="s">
        <v>178</v>
      </c>
      <c r="C22" s="36" t="s">
        <v>179</v>
      </c>
      <c r="D22" s="34" t="s">
        <v>180</v>
      </c>
      <c r="E22" s="37" t="s">
        <v>181</v>
      </c>
      <c r="F22" s="38" t="s">
        <v>182</v>
      </c>
      <c r="G22" s="10" t="s">
        <v>183</v>
      </c>
      <c r="H22" s="14" t="s">
        <v>184</v>
      </c>
      <c r="I22" s="39" t="s">
        <v>185</v>
      </c>
      <c r="J22" s="9" t="s">
        <v>186</v>
      </c>
      <c r="K22" s="6"/>
      <c r="L22" s="7"/>
      <c r="M22" s="7"/>
      <c r="N22" s="8"/>
    </row>
    <row r="23">
      <c r="A23" s="40"/>
      <c r="B23" s="40" t="s">
        <v>187</v>
      </c>
      <c r="C23" s="3"/>
      <c r="D23" s="34" t="s">
        <v>188</v>
      </c>
      <c r="E23" s="9" t="s">
        <v>189</v>
      </c>
      <c r="F23" s="14" t="s">
        <v>190</v>
      </c>
      <c r="G23" s="37" t="s">
        <v>191</v>
      </c>
      <c r="H23" s="26" t="s">
        <v>192</v>
      </c>
      <c r="I23" s="18" t="s">
        <v>193</v>
      </c>
      <c r="J23" s="26" t="s">
        <v>194</v>
      </c>
      <c r="K23" s="6"/>
      <c r="L23" s="7"/>
      <c r="M23" s="7"/>
      <c r="N23" s="8"/>
    </row>
    <row r="24">
      <c r="A24" s="27"/>
      <c r="B24" s="27" t="s">
        <v>195</v>
      </c>
      <c r="C24" s="3"/>
      <c r="D24" s="1"/>
      <c r="E24" s="4"/>
      <c r="F24" s="10" t="s">
        <v>196</v>
      </c>
      <c r="G24" s="37" t="s">
        <v>197</v>
      </c>
      <c r="H24" s="5"/>
      <c r="I24" s="12" t="s">
        <v>198</v>
      </c>
      <c r="J24" s="40" t="s">
        <v>199</v>
      </c>
      <c r="K24" s="6"/>
      <c r="L24" s="7"/>
      <c r="M24" s="7"/>
      <c r="N24" s="8"/>
    </row>
    <row r="25">
      <c r="A25" s="2"/>
      <c r="B25" s="2"/>
      <c r="C25" s="3"/>
      <c r="D25" s="2"/>
      <c r="E25" s="4"/>
      <c r="F25" s="37" t="s">
        <v>200</v>
      </c>
      <c r="G25" s="26" t="s">
        <v>201</v>
      </c>
      <c r="H25" s="5"/>
      <c r="I25" s="10" t="s">
        <v>202</v>
      </c>
      <c r="J25" s="23" t="s">
        <v>203</v>
      </c>
      <c r="K25" s="6"/>
      <c r="L25" s="7"/>
      <c r="M25" s="7"/>
      <c r="N25" s="8"/>
    </row>
    <row r="26">
      <c r="A26" s="2"/>
      <c r="B26" s="2"/>
      <c r="C26" s="3"/>
      <c r="D26" s="2"/>
      <c r="E26" s="4"/>
      <c r="F26" s="4"/>
      <c r="G26" s="5"/>
      <c r="H26" s="5"/>
      <c r="I26" s="40" t="s">
        <v>204</v>
      </c>
      <c r="J26" s="41" t="s">
        <v>205</v>
      </c>
      <c r="K26" s="6"/>
      <c r="L26" s="7"/>
      <c r="M26" s="7"/>
      <c r="N26" s="8"/>
    </row>
    <row r="27">
      <c r="A27" s="2"/>
      <c r="B27" s="2"/>
      <c r="C27" s="3"/>
      <c r="D27" s="2"/>
      <c r="E27" s="4"/>
      <c r="F27" s="4"/>
      <c r="G27" s="5"/>
      <c r="H27" s="5"/>
      <c r="I27" s="40" t="s">
        <v>206</v>
      </c>
      <c r="J27" s="42"/>
      <c r="K27" s="6"/>
      <c r="L27" s="7"/>
      <c r="M27" s="7"/>
      <c r="N27" s="8"/>
    </row>
    <row r="28">
      <c r="A28" s="2"/>
      <c r="B28" s="2"/>
      <c r="C28" s="3"/>
      <c r="D28" s="2"/>
      <c r="E28" s="4"/>
      <c r="F28" s="4"/>
      <c r="G28" s="5"/>
      <c r="H28" s="5"/>
      <c r="I28" s="9" t="s">
        <v>207</v>
      </c>
      <c r="J28" s="6"/>
      <c r="K28" s="6"/>
      <c r="L28" s="7"/>
      <c r="M28" s="7"/>
      <c r="N28" s="8"/>
    </row>
    <row r="29">
      <c r="A29" s="2"/>
      <c r="B29" s="2"/>
      <c r="C29" s="3"/>
      <c r="D29" s="2"/>
      <c r="E29" s="4"/>
      <c r="F29" s="4"/>
      <c r="G29" s="5"/>
      <c r="H29" s="5"/>
      <c r="I29" s="9" t="s">
        <v>208</v>
      </c>
      <c r="J29" s="6"/>
      <c r="K29" s="6"/>
      <c r="L29" s="7"/>
      <c r="M29" s="7"/>
      <c r="N29" s="8"/>
    </row>
    <row r="30">
      <c r="A30" s="43"/>
      <c r="B30" s="43"/>
      <c r="C30" s="44"/>
      <c r="D30" s="43"/>
      <c r="E30" s="45"/>
      <c r="F30" s="45"/>
      <c r="G30" s="46"/>
      <c r="H30" s="46"/>
      <c r="I30" s="46"/>
      <c r="J30" s="47"/>
      <c r="K30" s="47"/>
      <c r="L30" s="48"/>
      <c r="M30" s="48"/>
      <c r="N30" s="8"/>
    </row>
    <row r="31">
      <c r="A31" s="1" t="s">
        <v>209</v>
      </c>
      <c r="B31" s="1">
        <v>23.0</v>
      </c>
      <c r="C31" s="49">
        <v>21.0</v>
      </c>
      <c r="D31" s="1">
        <v>22.0</v>
      </c>
      <c r="E31" s="27">
        <v>22.0</v>
      </c>
      <c r="F31" s="27">
        <v>24.0</v>
      </c>
      <c r="G31" s="50">
        <v>24.0</v>
      </c>
      <c r="H31" s="50">
        <v>22.0</v>
      </c>
      <c r="I31" s="50">
        <v>28.0</v>
      </c>
      <c r="J31" s="42">
        <v>25.0</v>
      </c>
      <c r="K31" s="42">
        <v>6.0</v>
      </c>
      <c r="L31" s="51">
        <v>18.0</v>
      </c>
      <c r="M31" s="51">
        <v>17.0</v>
      </c>
      <c r="N31" s="52">
        <f t="shared" ref="N31:N32" si="1">SUM(B31, C31, D31,E31,F31,G31,H31,I31,J31,K31,L31,M31)</f>
        <v>252</v>
      </c>
    </row>
    <row r="32">
      <c r="A32" s="53" t="s">
        <v>210</v>
      </c>
      <c r="B32" s="53">
        <v>23.0</v>
      </c>
      <c r="C32" s="54">
        <v>21.0</v>
      </c>
      <c r="D32" s="52">
        <v>22.0</v>
      </c>
      <c r="E32" s="52">
        <v>22.0</v>
      </c>
      <c r="F32" s="52">
        <v>24.0</v>
      </c>
      <c r="G32" s="52">
        <v>24.0</v>
      </c>
      <c r="H32" s="52">
        <v>22.0</v>
      </c>
      <c r="I32" s="52">
        <v>28.0</v>
      </c>
      <c r="J32" s="52">
        <v>26.0</v>
      </c>
      <c r="K32" s="52">
        <v>6.0</v>
      </c>
      <c r="L32" s="52">
        <v>18.0</v>
      </c>
      <c r="M32" s="52">
        <v>17.0</v>
      </c>
      <c r="N32" s="8">
        <f t="shared" si="1"/>
        <v>253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13.0"/>
    <col customWidth="1" min="4" max="4" width="16.0"/>
    <col customWidth="1" min="5" max="5" width="12.13"/>
    <col customWidth="1" min="6" max="6" width="15.88"/>
    <col customWidth="1" min="7" max="7" width="13.0"/>
    <col customWidth="1" min="8" max="8" width="12.75"/>
    <col customWidth="1" min="9" max="9" width="17.25"/>
  </cols>
  <sheetData>
    <row r="1">
      <c r="A1" s="55" t="s">
        <v>0</v>
      </c>
      <c r="B1" s="55">
        <v>2001.0</v>
      </c>
      <c r="C1" s="55">
        <v>2002.0</v>
      </c>
      <c r="D1" s="55">
        <v>2003.0</v>
      </c>
      <c r="E1" s="56">
        <v>2004.0</v>
      </c>
      <c r="F1" s="56">
        <v>2005.0</v>
      </c>
      <c r="G1" s="57">
        <v>2006.0</v>
      </c>
      <c r="H1" s="57">
        <v>2007.0</v>
      </c>
      <c r="I1" s="57">
        <v>2008.0</v>
      </c>
      <c r="J1" s="58">
        <v>2009.0</v>
      </c>
      <c r="K1" s="58">
        <v>2010.0</v>
      </c>
    </row>
    <row r="2">
      <c r="A2" s="55" t="s">
        <v>1</v>
      </c>
      <c r="B2" s="55" t="s">
        <v>211</v>
      </c>
      <c r="C2" s="55" t="s">
        <v>212</v>
      </c>
      <c r="D2" s="59" t="s">
        <v>213</v>
      </c>
      <c r="E2" s="56" t="s">
        <v>214</v>
      </c>
      <c r="F2" s="56" t="s">
        <v>215</v>
      </c>
      <c r="G2" s="57" t="s">
        <v>216</v>
      </c>
      <c r="H2" s="57" t="s">
        <v>217</v>
      </c>
      <c r="I2" s="57" t="s">
        <v>218</v>
      </c>
      <c r="J2" s="58" t="s">
        <v>219</v>
      </c>
      <c r="K2" s="58" t="s">
        <v>220</v>
      </c>
    </row>
    <row r="3">
      <c r="A3" s="55"/>
      <c r="B3" s="55" t="s">
        <v>221</v>
      </c>
      <c r="C3" s="55" t="s">
        <v>222</v>
      </c>
      <c r="D3" s="1" t="s">
        <v>223</v>
      </c>
      <c r="E3" s="56" t="s">
        <v>224</v>
      </c>
      <c r="F3" s="56" t="s">
        <v>225</v>
      </c>
      <c r="G3" s="57" t="s">
        <v>226</v>
      </c>
      <c r="H3" s="57" t="s">
        <v>227</v>
      </c>
      <c r="I3" s="57" t="s">
        <v>228</v>
      </c>
      <c r="J3" s="60"/>
      <c r="K3" s="60"/>
    </row>
    <row r="4">
      <c r="A4" s="55"/>
      <c r="B4" s="55" t="s">
        <v>229</v>
      </c>
      <c r="C4" s="55" t="s">
        <v>230</v>
      </c>
      <c r="D4" s="55" t="s">
        <v>231</v>
      </c>
      <c r="E4" s="56" t="s">
        <v>232</v>
      </c>
      <c r="F4" s="56" t="s">
        <v>233</v>
      </c>
      <c r="G4" s="57" t="s">
        <v>234</v>
      </c>
      <c r="H4" s="57" t="s">
        <v>235</v>
      </c>
      <c r="I4" s="61" t="s">
        <v>236</v>
      </c>
      <c r="J4" s="60"/>
      <c r="K4" s="60"/>
    </row>
    <row r="5">
      <c r="A5" s="62"/>
      <c r="B5" s="62"/>
      <c r="C5" s="55" t="s">
        <v>237</v>
      </c>
      <c r="D5" s="55" t="s">
        <v>238</v>
      </c>
      <c r="E5" s="56" t="s">
        <v>239</v>
      </c>
      <c r="F5" s="56" t="s">
        <v>200</v>
      </c>
      <c r="G5" s="57" t="s">
        <v>174</v>
      </c>
      <c r="H5" s="57"/>
      <c r="I5" s="20" t="s">
        <v>240</v>
      </c>
      <c r="J5" s="60"/>
      <c r="K5" s="60"/>
    </row>
    <row r="6">
      <c r="A6" s="62"/>
      <c r="B6" s="62"/>
      <c r="C6" s="63" t="s">
        <v>241</v>
      </c>
      <c r="D6" s="55" t="s">
        <v>242</v>
      </c>
      <c r="E6" s="56" t="s">
        <v>243</v>
      </c>
      <c r="F6" s="56" t="s">
        <v>244</v>
      </c>
      <c r="G6" s="57" t="s">
        <v>245</v>
      </c>
      <c r="H6" s="57"/>
      <c r="I6" s="61" t="s">
        <v>246</v>
      </c>
      <c r="J6" s="60"/>
      <c r="K6" s="60"/>
    </row>
    <row r="7">
      <c r="A7" s="62"/>
      <c r="B7" s="62"/>
      <c r="C7" s="55" t="s">
        <v>247</v>
      </c>
      <c r="D7" s="55" t="s">
        <v>248</v>
      </c>
      <c r="E7" s="56" t="s">
        <v>249</v>
      </c>
      <c r="F7" s="56" t="s">
        <v>250</v>
      </c>
      <c r="G7" s="57" t="s">
        <v>251</v>
      </c>
      <c r="H7" s="57"/>
      <c r="I7" s="64"/>
      <c r="J7" s="60"/>
      <c r="K7" s="60"/>
    </row>
    <row r="8">
      <c r="A8" s="62"/>
      <c r="B8" s="62"/>
      <c r="C8" s="62"/>
      <c r="D8" s="62"/>
      <c r="E8" s="56" t="s">
        <v>252</v>
      </c>
      <c r="F8" s="56" t="s">
        <v>253</v>
      </c>
      <c r="G8" s="64"/>
      <c r="H8" s="64"/>
      <c r="I8" s="64"/>
      <c r="J8" s="60"/>
      <c r="K8" s="60"/>
    </row>
    <row r="9">
      <c r="A9" s="62"/>
      <c r="B9" s="62"/>
      <c r="C9" s="62"/>
      <c r="D9" s="62"/>
      <c r="E9" s="56" t="s">
        <v>254</v>
      </c>
      <c r="F9" s="56" t="s">
        <v>255</v>
      </c>
      <c r="G9" s="64"/>
      <c r="H9" s="64"/>
      <c r="I9" s="64"/>
      <c r="J9" s="60"/>
      <c r="K9" s="60"/>
    </row>
    <row r="10">
      <c r="A10" s="55"/>
      <c r="B10" s="55"/>
      <c r="C10" s="55"/>
      <c r="D10" s="55"/>
      <c r="E10" s="56" t="s">
        <v>256</v>
      </c>
      <c r="F10" s="56" t="s">
        <v>257</v>
      </c>
      <c r="G10" s="64"/>
      <c r="H10" s="64"/>
      <c r="I10" s="64"/>
      <c r="J10" s="60"/>
      <c r="K10" s="60"/>
    </row>
    <row r="11">
      <c r="A11" s="62"/>
      <c r="B11" s="62"/>
      <c r="C11" s="62"/>
      <c r="D11" s="62"/>
      <c r="E11" s="65"/>
      <c r="F11" s="56" t="s">
        <v>258</v>
      </c>
      <c r="G11" s="64"/>
      <c r="H11" s="64"/>
      <c r="I11" s="64"/>
      <c r="J11" s="60"/>
      <c r="K11" s="60"/>
    </row>
    <row r="12">
      <c r="A12" s="62"/>
      <c r="B12" s="62"/>
      <c r="C12" s="62"/>
      <c r="D12" s="62"/>
      <c r="E12" s="65"/>
      <c r="F12" s="65"/>
      <c r="G12" s="64"/>
      <c r="H12" s="64"/>
      <c r="I12" s="64"/>
      <c r="J12" s="60"/>
      <c r="K12" s="60"/>
    </row>
    <row r="13">
      <c r="A13" s="62"/>
      <c r="B13" s="62"/>
      <c r="C13" s="62"/>
      <c r="D13" s="62"/>
      <c r="E13" s="65"/>
      <c r="F13" s="65"/>
      <c r="G13" s="64"/>
      <c r="H13" s="64"/>
      <c r="I13" s="64"/>
      <c r="J13" s="60"/>
      <c r="K13" s="60"/>
    </row>
    <row r="14">
      <c r="A14" s="62"/>
      <c r="B14" s="62"/>
      <c r="C14" s="62"/>
      <c r="D14" s="62"/>
      <c r="E14" s="65"/>
      <c r="F14" s="65"/>
      <c r="G14" s="64"/>
      <c r="H14" s="64"/>
      <c r="I14" s="64"/>
      <c r="J14" s="60"/>
      <c r="K14" s="60"/>
    </row>
    <row r="15">
      <c r="A15" s="62"/>
      <c r="B15" s="62"/>
      <c r="C15" s="62"/>
      <c r="D15" s="62"/>
      <c r="E15" s="65"/>
      <c r="F15" s="65"/>
      <c r="G15" s="64"/>
      <c r="H15" s="64"/>
      <c r="I15" s="64"/>
      <c r="J15" s="60"/>
      <c r="K15" s="60"/>
    </row>
    <row r="16">
      <c r="A16" s="2"/>
      <c r="B16" s="2"/>
      <c r="C16" s="2"/>
      <c r="D16" s="2"/>
      <c r="E16" s="56"/>
      <c r="F16" s="65"/>
      <c r="G16" s="64"/>
      <c r="H16" s="64"/>
      <c r="I16" s="64"/>
      <c r="J16" s="60"/>
      <c r="K16" s="60"/>
    </row>
    <row r="17">
      <c r="A17" s="62"/>
      <c r="B17" s="62"/>
      <c r="C17" s="62"/>
      <c r="D17" s="62"/>
      <c r="E17" s="65"/>
      <c r="F17" s="65"/>
      <c r="G17" s="64"/>
      <c r="H17" s="64"/>
      <c r="I17" s="64"/>
      <c r="J17" s="60"/>
      <c r="K17" s="60"/>
    </row>
    <row r="18">
      <c r="A18" s="52" t="s">
        <v>259</v>
      </c>
      <c r="B18" s="52" t="s">
        <v>260</v>
      </c>
      <c r="C18" s="52" t="s">
        <v>261</v>
      </c>
      <c r="D18" s="52" t="s">
        <v>262</v>
      </c>
      <c r="E18" s="52" t="s">
        <v>263</v>
      </c>
      <c r="F18" s="53" t="s">
        <v>264</v>
      </c>
      <c r="G18" s="53" t="s">
        <v>265</v>
      </c>
      <c r="H18" s="53" t="s">
        <v>266</v>
      </c>
      <c r="I18" s="53" t="s">
        <v>267</v>
      </c>
      <c r="J18" s="53" t="s">
        <v>268</v>
      </c>
      <c r="K18" s="53" t="s">
        <v>268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0"/>
    <col customWidth="1" min="3" max="3" width="14.5"/>
    <col customWidth="1" min="4" max="4" width="10.25"/>
    <col customWidth="1" min="5" max="5" width="11.63"/>
    <col customWidth="1" min="6" max="6" width="14.5"/>
    <col customWidth="1" min="7" max="7" width="12.38"/>
    <col customWidth="1" min="8" max="8" width="11.88"/>
    <col customWidth="1" min="9" max="9" width="10.63"/>
    <col customWidth="1" min="10" max="12" width="10.25"/>
    <col customWidth="1" min="13" max="13" width="6.13"/>
  </cols>
  <sheetData>
    <row r="1">
      <c r="A1" s="66">
        <v>2001.0</v>
      </c>
      <c r="B1" s="66">
        <v>2002.0</v>
      </c>
      <c r="C1" s="66">
        <v>2003.0</v>
      </c>
      <c r="D1" s="66">
        <v>2004.0</v>
      </c>
      <c r="E1" s="66">
        <v>2005.0</v>
      </c>
      <c r="F1" s="66">
        <v>2006.0</v>
      </c>
      <c r="G1" s="66">
        <v>2007.0</v>
      </c>
      <c r="H1" s="66">
        <v>2008.0</v>
      </c>
      <c r="I1" s="66">
        <v>2009.0</v>
      </c>
      <c r="J1" s="66">
        <v>2010.0</v>
      </c>
      <c r="K1" s="66">
        <v>2015.0</v>
      </c>
      <c r="L1" s="66">
        <v>2016.0</v>
      </c>
      <c r="M1" s="66" t="s">
        <v>269</v>
      </c>
    </row>
    <row r="2">
      <c r="A2" s="67" t="s">
        <v>270</v>
      </c>
      <c r="B2" s="67" t="s">
        <v>270</v>
      </c>
      <c r="C2" s="67" t="s">
        <v>270</v>
      </c>
      <c r="D2" s="67" t="s">
        <v>270</v>
      </c>
      <c r="E2" s="67" t="s">
        <v>270</v>
      </c>
      <c r="F2" s="67" t="s">
        <v>270</v>
      </c>
      <c r="G2" s="67" t="s">
        <v>270</v>
      </c>
      <c r="H2" s="67" t="s">
        <v>270</v>
      </c>
      <c r="I2" s="68" t="s">
        <v>271</v>
      </c>
      <c r="J2" s="67" t="s">
        <v>270</v>
      </c>
      <c r="K2" s="67" t="s">
        <v>270</v>
      </c>
      <c r="L2" s="67" t="s">
        <v>270</v>
      </c>
      <c r="M2" s="53">
        <f>SUM(A3,B3,C3,D3,E3,F3,G3,H3,I3,J3,K3,L3) </f>
        <v>1</v>
      </c>
    </row>
    <row r="3">
      <c r="A3" s="52"/>
      <c r="B3" s="53"/>
      <c r="C3" s="53"/>
      <c r="D3" s="53"/>
      <c r="E3" s="53"/>
      <c r="F3" s="69"/>
      <c r="G3" s="53"/>
      <c r="H3" s="69"/>
      <c r="I3" s="53">
        <v>1.0</v>
      </c>
      <c r="J3" s="53"/>
      <c r="K3" s="53"/>
      <c r="L3" s="53"/>
      <c r="M3" s="53"/>
    </row>
    <row r="4">
      <c r="A4" s="70"/>
      <c r="B4" s="70"/>
      <c r="C4" s="70"/>
      <c r="G4" s="70"/>
      <c r="J4" s="70"/>
      <c r="K4" s="70"/>
      <c r="L4" s="70"/>
      <c r="M4" s="70"/>
    </row>
    <row r="5">
      <c r="A5" s="71" t="s">
        <v>272</v>
      </c>
      <c r="B5" s="71" t="s">
        <v>273</v>
      </c>
      <c r="C5" s="71" t="s">
        <v>274</v>
      </c>
      <c r="D5" s="71" t="s">
        <v>275</v>
      </c>
      <c r="E5" s="71" t="s">
        <v>276</v>
      </c>
      <c r="F5" s="71" t="s">
        <v>277</v>
      </c>
      <c r="G5" s="71" t="s">
        <v>278</v>
      </c>
      <c r="H5" s="71" t="s">
        <v>279</v>
      </c>
      <c r="I5" s="71" t="s">
        <v>280</v>
      </c>
      <c r="J5" s="71" t="s">
        <v>281</v>
      </c>
      <c r="K5" s="66" t="s">
        <v>269</v>
      </c>
      <c r="L5" s="52"/>
      <c r="M5" s="70"/>
    </row>
    <row r="6">
      <c r="A6" s="72" t="s">
        <v>282</v>
      </c>
      <c r="B6" s="73" t="s">
        <v>283</v>
      </c>
      <c r="C6" s="73" t="s">
        <v>284</v>
      </c>
      <c r="D6" s="53"/>
      <c r="E6" s="73" t="s">
        <v>285</v>
      </c>
      <c r="F6" s="73" t="s">
        <v>286</v>
      </c>
      <c r="G6" s="53"/>
      <c r="H6" s="73" t="s">
        <v>287</v>
      </c>
      <c r="I6" s="53"/>
      <c r="J6" s="53"/>
      <c r="K6" s="53">
        <f>A12+B12+C12+D12+E12+F12+H12+I12+J12</f>
        <v>20</v>
      </c>
      <c r="L6" s="53"/>
      <c r="M6" s="70"/>
    </row>
    <row r="7">
      <c r="A7" s="72" t="s">
        <v>288</v>
      </c>
      <c r="B7" s="74" t="s">
        <v>289</v>
      </c>
      <c r="C7" s="53"/>
      <c r="D7" s="69"/>
      <c r="E7" s="73" t="s">
        <v>290</v>
      </c>
      <c r="F7" s="73" t="s">
        <v>291</v>
      </c>
      <c r="G7" s="53"/>
      <c r="H7" s="53"/>
      <c r="I7" s="53"/>
      <c r="J7" s="69"/>
      <c r="K7" s="69"/>
      <c r="L7" s="69"/>
    </row>
    <row r="8">
      <c r="A8" s="72" t="s">
        <v>292</v>
      </c>
      <c r="B8" s="73" t="s">
        <v>293</v>
      </c>
      <c r="C8" s="53"/>
      <c r="D8" s="69"/>
      <c r="E8" s="73" t="s">
        <v>294</v>
      </c>
      <c r="F8" s="73" t="s">
        <v>295</v>
      </c>
      <c r="G8" s="53"/>
      <c r="H8" s="53"/>
      <c r="I8" s="53"/>
      <c r="J8" s="69"/>
      <c r="K8" s="69"/>
      <c r="L8" s="69"/>
    </row>
    <row r="9">
      <c r="A9" s="72" t="s">
        <v>296</v>
      </c>
      <c r="B9" s="53"/>
      <c r="C9" s="53"/>
      <c r="D9" s="69"/>
      <c r="E9" s="73" t="s">
        <v>297</v>
      </c>
      <c r="F9" s="73" t="s">
        <v>298</v>
      </c>
      <c r="G9" s="69"/>
      <c r="H9" s="53"/>
      <c r="I9" s="53"/>
      <c r="J9" s="69"/>
      <c r="K9" s="69"/>
      <c r="L9" s="69"/>
    </row>
    <row r="10">
      <c r="A10" s="73" t="s">
        <v>299</v>
      </c>
      <c r="B10" s="53"/>
      <c r="C10" s="69"/>
      <c r="D10" s="69"/>
      <c r="E10" s="73" t="s">
        <v>300</v>
      </c>
      <c r="F10" s="53"/>
      <c r="G10" s="53"/>
      <c r="H10" s="53"/>
      <c r="I10" s="53"/>
      <c r="J10" s="53"/>
      <c r="K10" s="69"/>
      <c r="L10" s="69"/>
    </row>
    <row r="11">
      <c r="A11" s="53"/>
      <c r="B11" s="53"/>
      <c r="C11" s="69"/>
      <c r="D11" s="69"/>
      <c r="E11" s="73" t="s">
        <v>301</v>
      </c>
      <c r="F11" s="69"/>
      <c r="G11" s="69"/>
      <c r="H11" s="53"/>
      <c r="I11" s="53"/>
      <c r="J11" s="69"/>
      <c r="K11" s="69"/>
      <c r="L11" s="69"/>
    </row>
    <row r="12">
      <c r="A12" s="53">
        <v>5.0</v>
      </c>
      <c r="B12" s="53">
        <v>3.0</v>
      </c>
      <c r="C12" s="53">
        <v>1.0</v>
      </c>
      <c r="D12" s="53"/>
      <c r="E12" s="53">
        <v>6.0</v>
      </c>
      <c r="F12" s="53">
        <v>4.0</v>
      </c>
      <c r="G12" s="53"/>
      <c r="H12" s="53">
        <v>1.0</v>
      </c>
      <c r="I12" s="53"/>
      <c r="J12" s="53"/>
      <c r="K12" s="69"/>
      <c r="L12" s="69"/>
    </row>
    <row r="13">
      <c r="A13" s="75"/>
      <c r="B13" s="75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70"/>
    </row>
    <row r="14">
      <c r="A14" s="69"/>
      <c r="B14" s="53"/>
      <c r="C14" s="69"/>
      <c r="D14" s="53"/>
      <c r="E14" s="53"/>
      <c r="F14" s="53"/>
      <c r="G14" s="69"/>
      <c r="H14" s="53"/>
      <c r="I14" s="53"/>
      <c r="J14" s="53"/>
      <c r="K14" s="53"/>
      <c r="L14" s="53"/>
      <c r="M14" s="70"/>
    </row>
    <row r="15">
      <c r="A15" s="69"/>
      <c r="B15" s="53"/>
      <c r="C15" s="69"/>
      <c r="D15" s="69"/>
      <c r="E15" s="69"/>
      <c r="F15" s="69"/>
      <c r="G15" s="69"/>
      <c r="H15" s="69"/>
      <c r="I15" s="53"/>
      <c r="J15" s="69"/>
      <c r="K15" s="69"/>
      <c r="L15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.0"/>
    <col customWidth="1" min="3" max="4" width="7.25"/>
    <col customWidth="1" min="5" max="5" width="6.25"/>
    <col customWidth="1" min="6" max="6" width="5.63"/>
    <col customWidth="1" min="7" max="7" width="6.63"/>
    <col customWidth="1" min="8" max="8" width="2.88"/>
    <col customWidth="1" min="9" max="9" width="3.75"/>
  </cols>
  <sheetData>
    <row r="1">
      <c r="A1" s="76" t="s">
        <v>302</v>
      </c>
      <c r="B1" s="76" t="s">
        <v>2</v>
      </c>
      <c r="C1" s="76" t="s">
        <v>9</v>
      </c>
      <c r="D1" s="76" t="s">
        <v>17</v>
      </c>
      <c r="E1" s="76" t="s">
        <v>24</v>
      </c>
      <c r="F1" s="76" t="s">
        <v>32</v>
      </c>
      <c r="G1" s="76" t="s">
        <v>39</v>
      </c>
      <c r="H1" s="8"/>
      <c r="I1" s="8"/>
    </row>
    <row r="2">
      <c r="A2" s="76" t="s">
        <v>303</v>
      </c>
      <c r="B2" s="77"/>
      <c r="C2" s="77"/>
      <c r="D2" s="77"/>
      <c r="E2" s="77"/>
      <c r="F2" s="77"/>
      <c r="G2" s="77"/>
      <c r="H2" s="8"/>
      <c r="I2" s="8"/>
    </row>
    <row r="3">
      <c r="A3" s="76" t="s">
        <v>304</v>
      </c>
      <c r="B3" s="77"/>
      <c r="C3" s="77"/>
      <c r="D3" s="77"/>
      <c r="E3" s="78"/>
      <c r="F3" s="77"/>
      <c r="G3" s="78"/>
      <c r="H3" s="8"/>
      <c r="I3" s="8"/>
    </row>
    <row r="4">
      <c r="A4" s="76" t="s">
        <v>305</v>
      </c>
      <c r="B4" s="77"/>
      <c r="C4" s="77"/>
      <c r="D4" s="77"/>
      <c r="E4" s="77"/>
      <c r="F4" s="77"/>
      <c r="G4" s="77"/>
      <c r="H4" s="8"/>
      <c r="I4" s="8"/>
    </row>
    <row r="5">
      <c r="A5" s="76" t="s">
        <v>306</v>
      </c>
      <c r="B5" s="77"/>
      <c r="C5" s="77"/>
      <c r="D5" s="77"/>
      <c r="E5" s="77"/>
      <c r="F5" s="77"/>
      <c r="G5" s="77"/>
      <c r="H5" s="8"/>
      <c r="I5" s="8"/>
    </row>
    <row r="6">
      <c r="A6" s="76" t="s">
        <v>307</v>
      </c>
      <c r="B6" s="77"/>
      <c r="C6" s="77"/>
      <c r="D6" s="77"/>
      <c r="E6" s="77"/>
      <c r="F6" s="77"/>
      <c r="G6" s="77"/>
      <c r="H6" s="8"/>
      <c r="I6" s="8"/>
    </row>
    <row r="7">
      <c r="A7" s="76" t="s">
        <v>308</v>
      </c>
      <c r="B7" s="77"/>
      <c r="C7" s="77"/>
      <c r="D7" s="77"/>
      <c r="E7" s="77"/>
      <c r="F7" s="77"/>
      <c r="G7" s="77"/>
      <c r="H7" s="8"/>
      <c r="I7" s="8"/>
    </row>
    <row r="8">
      <c r="A8" s="76" t="s">
        <v>309</v>
      </c>
      <c r="B8" s="77"/>
      <c r="C8" s="77"/>
      <c r="D8" s="77"/>
      <c r="E8" s="77"/>
      <c r="F8" s="77"/>
      <c r="G8" s="77"/>
      <c r="H8" s="8"/>
      <c r="I8" s="8"/>
    </row>
    <row r="9">
      <c r="A9" s="76" t="s">
        <v>310</v>
      </c>
      <c r="B9" s="77"/>
      <c r="C9" s="77"/>
      <c r="D9" s="77"/>
      <c r="E9" s="77"/>
      <c r="F9" s="77"/>
      <c r="G9" s="77"/>
      <c r="H9" s="52">
        <v>46.0</v>
      </c>
      <c r="I9" s="76">
        <v>48.0</v>
      </c>
    </row>
    <row r="10">
      <c r="A10" s="76"/>
      <c r="B10" s="76"/>
      <c r="C10" s="76"/>
      <c r="D10" s="76"/>
      <c r="E10" s="76"/>
      <c r="F10" s="76"/>
      <c r="G10" s="76"/>
      <c r="H10" s="8"/>
      <c r="I10" s="8"/>
    </row>
    <row r="11">
      <c r="A11" s="76" t="s">
        <v>311</v>
      </c>
      <c r="B11" s="76" t="s">
        <v>2</v>
      </c>
      <c r="C11" s="76" t="s">
        <v>9</v>
      </c>
      <c r="D11" s="76" t="s">
        <v>17</v>
      </c>
      <c r="E11" s="76" t="s">
        <v>24</v>
      </c>
      <c r="F11" s="76" t="s">
        <v>32</v>
      </c>
      <c r="G11" s="76" t="s">
        <v>39</v>
      </c>
      <c r="H11" s="8"/>
      <c r="I11" s="8"/>
    </row>
    <row r="12">
      <c r="A12" s="76" t="s">
        <v>303</v>
      </c>
      <c r="B12" s="77"/>
      <c r="C12" s="79"/>
      <c r="D12" s="79"/>
      <c r="E12" s="77"/>
      <c r="F12" s="77"/>
      <c r="G12" s="79"/>
      <c r="H12" s="8"/>
      <c r="I12" s="8"/>
    </row>
    <row r="13">
      <c r="A13" s="76" t="s">
        <v>304</v>
      </c>
      <c r="B13" s="79"/>
      <c r="C13" s="77"/>
      <c r="D13" s="77"/>
      <c r="E13" s="79"/>
      <c r="F13" s="77"/>
      <c r="G13" s="77"/>
      <c r="H13" s="8"/>
      <c r="I13" s="8"/>
    </row>
    <row r="14">
      <c r="A14" s="76" t="s">
        <v>305</v>
      </c>
      <c r="B14" s="77"/>
      <c r="C14" s="77"/>
      <c r="D14" s="77"/>
      <c r="E14" s="77"/>
      <c r="F14" s="77"/>
      <c r="G14" s="77"/>
      <c r="H14" s="8"/>
      <c r="I14" s="8"/>
    </row>
    <row r="15">
      <c r="A15" s="76" t="s">
        <v>306</v>
      </c>
      <c r="B15" s="77"/>
      <c r="C15" s="79"/>
      <c r="D15" s="77"/>
      <c r="E15" s="77"/>
      <c r="F15" s="79"/>
      <c r="G15" s="79"/>
      <c r="H15" s="8"/>
      <c r="I15" s="8"/>
    </row>
    <row r="16">
      <c r="A16" s="76" t="s">
        <v>307</v>
      </c>
      <c r="B16" s="77"/>
      <c r="C16" s="79"/>
      <c r="D16" s="79"/>
      <c r="E16" s="77"/>
      <c r="F16" s="77"/>
      <c r="G16" s="77"/>
      <c r="H16" s="8"/>
      <c r="I16" s="8"/>
    </row>
    <row r="17">
      <c r="A17" s="76" t="s">
        <v>308</v>
      </c>
      <c r="B17" s="77"/>
      <c r="C17" s="77"/>
      <c r="D17" s="77"/>
      <c r="E17" s="79"/>
      <c r="F17" s="79"/>
      <c r="G17" s="77"/>
      <c r="H17" s="8"/>
      <c r="I17" s="8"/>
    </row>
    <row r="18">
      <c r="A18" s="76" t="s">
        <v>309</v>
      </c>
      <c r="B18" s="77"/>
      <c r="C18" s="78"/>
      <c r="D18" s="78"/>
      <c r="E18" s="77"/>
      <c r="F18" s="77"/>
      <c r="G18" s="78"/>
      <c r="H18" s="52">
        <v>27.0</v>
      </c>
      <c r="I18" s="76">
        <v>42.0</v>
      </c>
    </row>
    <row r="19">
      <c r="A19" s="76"/>
      <c r="B19" s="76"/>
      <c r="C19" s="76"/>
      <c r="D19" s="76"/>
      <c r="E19" s="76"/>
      <c r="F19" s="76"/>
      <c r="G19" s="76"/>
      <c r="H19" s="8"/>
      <c r="I19" s="8"/>
    </row>
    <row r="20">
      <c r="A20" s="76" t="s">
        <v>312</v>
      </c>
      <c r="B20" s="76" t="s">
        <v>5</v>
      </c>
      <c r="C20" s="76" t="s">
        <v>12</v>
      </c>
      <c r="D20" s="76" t="s">
        <v>20</v>
      </c>
      <c r="E20" s="76" t="s">
        <v>27</v>
      </c>
      <c r="F20" s="76" t="s">
        <v>35</v>
      </c>
      <c r="G20" s="76" t="s">
        <v>42</v>
      </c>
      <c r="H20" s="8"/>
      <c r="I20" s="8"/>
    </row>
    <row r="21">
      <c r="A21" s="76" t="s">
        <v>313</v>
      </c>
      <c r="B21" s="77"/>
      <c r="C21" s="77"/>
      <c r="D21" s="77"/>
      <c r="E21" s="77"/>
      <c r="F21" s="77"/>
      <c r="G21" s="79"/>
      <c r="H21" s="8"/>
      <c r="I21" s="8"/>
    </row>
    <row r="22">
      <c r="A22" s="76" t="s">
        <v>314</v>
      </c>
      <c r="B22" s="79"/>
      <c r="C22" s="77"/>
      <c r="D22" s="79"/>
      <c r="E22" s="79"/>
      <c r="F22" s="79"/>
      <c r="G22" s="77"/>
      <c r="H22" s="8"/>
      <c r="I22" s="8"/>
    </row>
    <row r="23">
      <c r="A23" s="76" t="s">
        <v>315</v>
      </c>
      <c r="B23" s="77"/>
      <c r="C23" s="77"/>
      <c r="D23" s="77"/>
      <c r="E23" s="79"/>
      <c r="F23" s="77"/>
      <c r="G23" s="77"/>
      <c r="H23" s="8"/>
      <c r="I23" s="8"/>
    </row>
    <row r="24">
      <c r="A24" s="76" t="s">
        <v>316</v>
      </c>
      <c r="B24" s="79"/>
      <c r="C24" s="77"/>
      <c r="D24" s="77"/>
      <c r="E24" s="77"/>
      <c r="F24" s="77"/>
      <c r="G24" s="77"/>
      <c r="H24" s="8"/>
      <c r="I24" s="8"/>
    </row>
    <row r="25">
      <c r="A25" s="76" t="s">
        <v>317</v>
      </c>
      <c r="B25" s="79"/>
      <c r="C25" s="77"/>
      <c r="D25" s="77"/>
      <c r="E25" s="79"/>
      <c r="F25" s="77"/>
      <c r="G25" s="79"/>
      <c r="H25" s="8"/>
      <c r="I25" s="8"/>
    </row>
    <row r="26">
      <c r="A26" s="76" t="s">
        <v>318</v>
      </c>
      <c r="B26" s="77"/>
      <c r="C26" s="77"/>
      <c r="D26" s="77"/>
      <c r="E26" s="77"/>
      <c r="F26" s="77"/>
      <c r="G26" s="77"/>
      <c r="H26" s="52">
        <v>26.0</v>
      </c>
      <c r="I26" s="76">
        <v>36.0</v>
      </c>
    </row>
    <row r="27">
      <c r="A27" s="76"/>
      <c r="B27" s="76"/>
      <c r="C27" s="76"/>
      <c r="D27" s="76"/>
      <c r="E27" s="76"/>
      <c r="F27" s="76"/>
      <c r="G27" s="76"/>
      <c r="H27" s="52">
        <f t="shared" ref="H27:I27" si="1">SUM(H9+H18+H26)</f>
        <v>99</v>
      </c>
      <c r="I27" s="76">
        <f t="shared" si="1"/>
        <v>126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.0"/>
    <col customWidth="1" min="3" max="3" width="2.88"/>
    <col customWidth="1" min="4" max="4" width="3.13"/>
    <col customWidth="1" min="5" max="5" width="2.88"/>
    <col customWidth="1" min="6" max="6" width="3.0"/>
    <col customWidth="1" min="7" max="7" width="2.88"/>
    <col customWidth="1" min="8" max="8" width="3.0"/>
    <col customWidth="1" min="9" max="9" width="2.75"/>
    <col customWidth="1" min="10" max="11" width="3.75"/>
  </cols>
  <sheetData>
    <row r="1">
      <c r="A1" s="8" t="s">
        <v>319</v>
      </c>
      <c r="B1" s="8" t="s">
        <v>320</v>
      </c>
      <c r="C1" s="8" t="s">
        <v>321</v>
      </c>
      <c r="D1" s="8" t="s">
        <v>322</v>
      </c>
      <c r="E1" s="8" t="s">
        <v>323</v>
      </c>
      <c r="F1" s="8" t="s">
        <v>324</v>
      </c>
      <c r="G1" s="8" t="s">
        <v>325</v>
      </c>
      <c r="H1" s="8" t="s">
        <v>326</v>
      </c>
      <c r="I1" s="8" t="s">
        <v>327</v>
      </c>
      <c r="J1" s="8"/>
      <c r="K1" s="8"/>
    </row>
    <row r="2">
      <c r="A2" s="8" t="s">
        <v>49</v>
      </c>
      <c r="B2" s="80"/>
      <c r="C2" s="80"/>
      <c r="D2" s="80"/>
      <c r="E2" s="80"/>
      <c r="F2" s="80"/>
      <c r="G2" s="80"/>
      <c r="H2" s="80"/>
      <c r="I2" s="80"/>
      <c r="J2" s="8"/>
      <c r="K2" s="8"/>
    </row>
    <row r="3">
      <c r="A3" s="8" t="s">
        <v>59</v>
      </c>
      <c r="B3" s="80"/>
      <c r="C3" s="80"/>
      <c r="D3" s="80"/>
      <c r="E3" s="80"/>
      <c r="F3" s="80"/>
      <c r="G3" s="80"/>
      <c r="H3" s="80"/>
      <c r="I3" s="80"/>
      <c r="J3" s="8"/>
      <c r="K3" s="8"/>
    </row>
    <row r="4">
      <c r="A4" s="8" t="s">
        <v>69</v>
      </c>
      <c r="B4" s="80"/>
      <c r="C4" s="80"/>
      <c r="D4" s="80"/>
      <c r="E4" s="80"/>
      <c r="F4" s="80"/>
      <c r="G4" s="80"/>
      <c r="H4" s="80"/>
      <c r="I4" s="80"/>
      <c r="J4" s="8"/>
      <c r="K4" s="8"/>
    </row>
    <row r="5">
      <c r="A5" s="8" t="s">
        <v>79</v>
      </c>
      <c r="B5" s="80"/>
      <c r="C5" s="80"/>
      <c r="D5" s="80"/>
      <c r="E5" s="80"/>
      <c r="F5" s="80"/>
      <c r="G5" s="80"/>
      <c r="H5" s="80"/>
      <c r="I5" s="80"/>
      <c r="J5" s="8"/>
      <c r="K5" s="8"/>
    </row>
    <row r="6">
      <c r="A6" s="8" t="s">
        <v>89</v>
      </c>
      <c r="B6" s="80"/>
      <c r="C6" s="80"/>
      <c r="D6" s="80"/>
      <c r="E6" s="80"/>
      <c r="F6" s="80"/>
      <c r="G6" s="80"/>
      <c r="H6" s="80"/>
      <c r="I6" s="80"/>
      <c r="J6" s="8"/>
      <c r="K6" s="8"/>
    </row>
    <row r="7">
      <c r="A7" s="8" t="s">
        <v>98</v>
      </c>
      <c r="B7" s="80"/>
      <c r="C7" s="80"/>
      <c r="D7" s="80"/>
      <c r="E7" s="80"/>
      <c r="F7" s="80"/>
      <c r="G7" s="80"/>
      <c r="H7" s="80"/>
      <c r="I7" s="80"/>
      <c r="J7" s="8"/>
      <c r="K7" s="8"/>
    </row>
    <row r="8">
      <c r="A8" s="8" t="s">
        <v>106</v>
      </c>
      <c r="B8" s="80"/>
      <c r="C8" s="80"/>
      <c r="D8" s="80"/>
      <c r="E8" s="80"/>
      <c r="F8" s="80"/>
      <c r="G8" s="80"/>
      <c r="H8" s="80"/>
      <c r="I8" s="80"/>
      <c r="J8" s="8"/>
      <c r="K8" s="8"/>
    </row>
    <row r="9">
      <c r="A9" s="8" t="s">
        <v>115</v>
      </c>
      <c r="B9" s="80"/>
      <c r="C9" s="80"/>
      <c r="D9" s="80"/>
      <c r="E9" s="80"/>
      <c r="F9" s="80"/>
      <c r="G9" s="80"/>
      <c r="H9" s="80"/>
      <c r="I9" s="80"/>
      <c r="J9" s="8"/>
      <c r="K9" s="8"/>
    </row>
    <row r="10">
      <c r="A10" s="8" t="s">
        <v>125</v>
      </c>
      <c r="B10" s="80"/>
      <c r="C10" s="80"/>
      <c r="D10" s="80"/>
      <c r="E10" s="80"/>
      <c r="F10" s="80"/>
      <c r="G10" s="80"/>
      <c r="H10" s="80"/>
      <c r="I10" s="80"/>
      <c r="J10" s="8"/>
      <c r="K10" s="8"/>
    </row>
    <row r="11">
      <c r="A11" s="8" t="s">
        <v>135</v>
      </c>
      <c r="B11" s="80"/>
      <c r="C11" s="80"/>
      <c r="D11" s="80"/>
      <c r="E11" s="80"/>
      <c r="F11" s="80"/>
      <c r="G11" s="80"/>
      <c r="H11" s="80"/>
      <c r="I11" s="80"/>
      <c r="J11" s="8"/>
      <c r="K11" s="8"/>
    </row>
    <row r="12">
      <c r="A12" s="8" t="s">
        <v>144</v>
      </c>
      <c r="B12" s="80"/>
      <c r="C12" s="80"/>
      <c r="D12" s="80"/>
      <c r="E12" s="80"/>
      <c r="F12" s="80"/>
      <c r="G12" s="80"/>
      <c r="H12" s="80"/>
      <c r="I12" s="80"/>
      <c r="J12" s="8"/>
      <c r="K12" s="8"/>
    </row>
    <row r="13">
      <c r="A13" s="8" t="s">
        <v>153</v>
      </c>
      <c r="B13" s="80"/>
      <c r="C13" s="80"/>
      <c r="D13" s="80"/>
      <c r="E13" s="80"/>
      <c r="F13" s="80"/>
      <c r="G13" s="80"/>
      <c r="H13" s="80"/>
      <c r="I13" s="80"/>
      <c r="J13" s="8"/>
      <c r="K13" s="8"/>
    </row>
    <row r="14">
      <c r="A14" s="8" t="s">
        <v>328</v>
      </c>
      <c r="B14" s="80"/>
      <c r="C14" s="80"/>
      <c r="D14" s="80"/>
      <c r="E14" s="80"/>
      <c r="F14" s="80"/>
      <c r="G14" s="80"/>
      <c r="H14" s="80"/>
      <c r="I14" s="80"/>
      <c r="J14" s="8"/>
      <c r="K14" s="8"/>
    </row>
    <row r="15">
      <c r="A15" s="8" t="s">
        <v>329</v>
      </c>
      <c r="B15" s="80"/>
      <c r="C15" s="80"/>
      <c r="D15" s="80"/>
      <c r="E15" s="80"/>
      <c r="F15" s="80"/>
      <c r="G15" s="80"/>
      <c r="H15" s="80"/>
      <c r="I15" s="80"/>
      <c r="J15" s="8"/>
      <c r="K15" s="8"/>
    </row>
    <row r="16">
      <c r="A16" s="8" t="s">
        <v>330</v>
      </c>
      <c r="B16" s="80"/>
      <c r="C16" s="80"/>
      <c r="D16" s="80"/>
      <c r="E16" s="81"/>
      <c r="F16" s="80"/>
      <c r="G16" s="80"/>
      <c r="H16" s="81"/>
      <c r="I16" s="80"/>
      <c r="J16" s="8"/>
      <c r="K16" s="8"/>
    </row>
    <row r="17">
      <c r="A17" s="8" t="s">
        <v>331</v>
      </c>
      <c r="B17" s="80"/>
      <c r="C17" s="80"/>
      <c r="D17" s="80"/>
      <c r="E17" s="81"/>
      <c r="F17" s="81"/>
      <c r="G17" s="80"/>
      <c r="H17" s="81"/>
      <c r="I17" s="80"/>
      <c r="J17" s="8"/>
      <c r="K17" s="8"/>
    </row>
    <row r="18">
      <c r="A18" s="8" t="s">
        <v>332</v>
      </c>
      <c r="B18" s="80"/>
      <c r="C18" s="80"/>
      <c r="D18" s="80"/>
      <c r="E18" s="81"/>
      <c r="F18" s="80"/>
      <c r="G18" s="80"/>
      <c r="H18" s="80"/>
      <c r="I18" s="80"/>
      <c r="J18" s="8"/>
      <c r="K18" s="8"/>
    </row>
    <row r="19">
      <c r="A19" s="8" t="s">
        <v>333</v>
      </c>
      <c r="B19" s="80"/>
      <c r="C19" s="80"/>
      <c r="D19" s="80"/>
      <c r="E19" s="80"/>
      <c r="F19" s="80"/>
      <c r="G19" s="80"/>
      <c r="H19" s="81"/>
      <c r="I19" s="80"/>
      <c r="J19" s="82">
        <v>137.0</v>
      </c>
      <c r="K19" s="83">
        <v>144.0</v>
      </c>
    </row>
  </sheetData>
  <drawing r:id="rId1"/>
</worksheet>
</file>